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Pais'!$A$1:$J$12</definedName>
  </definedNames>
  <calcPr/>
</workbook>
</file>

<file path=xl/sharedStrings.xml><?xml version="1.0" encoding="utf-8"?>
<sst xmlns="http://schemas.openxmlformats.org/spreadsheetml/2006/main" count="59" uniqueCount="37">
  <si>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</si>
  <si>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</si>
  <si>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</si>
  <si>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</si>
  <si>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Para el periodo de Enero-Agosto 2025 se analizó el Embudo General de Conversión de Mercado Libre, desde la primera visita del usuario (first_visit) hasta la compra final (purchase), con el objetivo de entender dónde se pierden más usuarios y qué tan efectiva es la retención a lo largo del journey.</t>
  </si>
  <si>
    <t>Un drop-off promedio del 84.5% entre la etapa select_item y add_to_cart muestra la primer gran perdida de usuarios en la tabla de conversion, siendo Argentina el país con menor porcentaje de conversion en dicha etapa (solo el 8.7%)</t>
  </si>
  <si>
    <t>Optimizar la transición select_item → add_to_cart:
Mejorar visibilidad de precio final y costos de envío
Mostrar beneficios claros (envío gratis, devoluciones)
A/B testing para tener un forecast</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</si>
  <si>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</si>
  <si>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t>La retención temprana (D7) es sólida: &gt;80% 
A partir de D14 se observa una caída fuerte y consistente:
~51% en D14
~22% en D21
~2% en D28
La mayor pérdida ocurre entre D7 y D14, lo que indica una ventana crítica de engagement.
Por país:
Mejor retención: México, Perú y Brasil (promedio de 2.9% en D28).
Peor retención: Argentina, Chile y Colombia (promedio de 1.7% en D28).</t>
  </si>
  <si>
    <t xml:space="preserve">Priorizar acciones entre D7 y D14, donde se pierde más valor:
Notificaciones personalizadas
Recomendaciones post-visita o post-compra
Optimizar estrategias por país:
Reforzar la logística y beneficios en mercados con menor retención.
</t>
  </si>
  <si>
    <t>Reflexión personal</t>
  </si>
  <si>
    <t>- ¿Qué etapa mejorarías primero?
La transición de select_item --&gt; add_to_cart.
Es el primer punto donde el usuario muestra intención real, y cualquier mejora aquí tiene un impacto multiplicador en todo el embudo.</t>
  </si>
  <si>
    <t>- ¿Qué aprendiste sobre el comportamiento del usuario?</t>
  </si>
  <si>
    <t>La mayoría de los usuarios exploran, pero solo una pequeña fracción se compromete con la compra.
El usuario no abandona de inmediato, pero el interés se pierde quizá por falta de incentivos.</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</si>
  <si>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</si>
  <si>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</si>
  <si>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</si>
  <si>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</si>
  <si>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</si>
  <si>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</si>
  <si>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</si>
  <si>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</si>
  <si>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</si>
  <si>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</si>
  <si>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</si>
  <si>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</si>
  <si>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</si>
  <si>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</si>
  <si>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</si>
  <si>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</si>
  <si>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</si>
  <si>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AVERAGE</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</si>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</sst>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yyyy-mm-dd"/>
    <numFmt numFmtId="166" formatCode="yyyy-mm"/>
  </numFmts>
  <fonts count="5">
    <font>
      <sz val="10.0"/>
      <color rgb="FF000000"/>
      <name val="Arial"/>
      <scheme val="minor"/>
    </font>
    <font>
      <color theme="1"/>
      <name val="Arial"/>
      <scheme val="minor"/>
    </font>
    <font>
      <b/>
      <sz val="12.0"/>
      <color theme="1"/>
      <name val="Arial"/>
      <scheme val="minor"/>
    </font>
    <font/>
    <font>
      <b/>
      <color theme="1"/>
      <name val="Arial"/>
      <scheme val="minor"/>
    </font>
  </fonts>
  <fills count="2">
    <fill>
      <patternFill patternType="none"/>
    </fill>
    <fill>
      <patternFill patternType="lightGray"/>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readingOrder="0"/>
    </xf>
    <xf borderId="1" fillId="0" fontId="1" numFmtId="0" xfId="0" applyAlignment="1" applyBorder="1" applyFont="1">
      <alignment readingOrder="0" shrinkToFit="0" wrapText="1"/>
    </xf>
    <xf borderId="2" fillId="0" fontId="1" numFmtId="0" xfId="0" applyAlignment="1" applyBorder="1" applyFont="1">
      <alignment horizontal="left" readingOrder="0" shrinkToFit="0" vertical="center" wrapText="1"/>
    </xf>
    <xf borderId="1" fillId="0" fontId="1" numFmtId="0" xfId="0" applyAlignment="1" applyBorder="1" applyFont="1">
      <alignment readingOrder="0" shrinkToFit="0" vertical="top" wrapText="1"/>
    </xf>
    <xf borderId="1" fillId="0" fontId="1" numFmtId="0" xfId="0" applyAlignment="1" applyBorder="1" applyFont="1">
      <alignment readingOrder="0" vertical="top"/>
    </xf>
    <xf borderId="3" fillId="0" fontId="3" numFmtId="0" xfId="0" applyBorder="1" applyFont="1"/>
    <xf borderId="1" fillId="0" fontId="1" numFmtId="0" xfId="0" applyAlignment="1" applyBorder="1" applyFont="1">
      <alignment readingOrder="0"/>
    </xf>
    <xf borderId="0" fillId="0" fontId="1" numFmtId="0" xfId="0" applyAlignment="1" applyFont="1">
      <alignment readingOrder="0" shrinkToFit="0" wrapText="1"/>
    </xf>
    <xf borderId="0" fillId="0" fontId="4" numFmtId="0" xfId="0" applyAlignment="1" applyFont="1">
      <alignment readingOrder="0" shrinkToFit="0" wrapText="1"/>
    </xf>
    <xf borderId="0" fillId="0" fontId="4"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2" xfId="0" applyAlignment="1" applyFont="1" applyNumberFormat="1">
      <alignment readingOrder="0"/>
    </xf>
    <xf borderId="0" fillId="0" fontId="1" numFmtId="10" xfId="0" applyFont="1" applyNumberFormat="1"/>
    <xf borderId="0" fillId="0" fontId="4" numFmtId="10" xfId="0" applyFont="1" applyNumberFormat="1"/>
    <xf borderId="0" fillId="0" fontId="1" numFmtId="165" xfId="0" applyAlignment="1" applyFont="1" applyNumberForma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mn-lt"/>
              </a:defRPr>
            </a:pPr>
            <a:r>
              <a:rPr b="0">
                <a:solidFill>
                  <a:srgbClr val="000000"/>
                </a:solidFill>
                <a:latin typeface="+mn-lt"/>
              </a:rPr>
              <a:t>Conversión general dentro del embudo - 11% del total de usuarios agregan al carrito</a:t>
            </a:r>
          </a:p>
        </c:rich>
      </c:tx>
      <c:overlay val="0"/>
    </c:title>
    <c:plotArea>
      <c:layout/>
      <c:barChart>
        <c:barDir val="col"/>
        <c:ser>
          <c:idx val="0"/>
          <c:order val="0"/>
          <c:tx>
            <c:strRef>
              <c:f>'Embudo General'!$A$1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'Embudo General'!$A$2</c:f>
              <c:numCache/>
            </c:numRef>
          </c:val>
        </c:ser>
        <c:ser>
          <c:idx val="1"/>
          <c:order val="1"/>
          <c:tx>
            <c:strRef>
              <c:f>'Embudo General'!$B$1</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'Embudo General'!$B$2</c:f>
              <c:numCache/>
            </c:numRef>
          </c:val>
        </c:ser>
        <c:ser>
          <c:idx val="2"/>
          <c:order val="2"/>
          <c:tx>
            <c:strRef>
              <c:f>'Embudo General'!$C$1</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'Embudo General'!$C$2</c:f>
              <c:numCache/>
            </c:numRef>
          </c:val>
        </c:ser>
        <c:ser>
          <c:idx val="3"/>
          <c:order val="3"/>
          <c:tx>
            <c:strRef>
              <c:f>'Embudo General'!$D$1</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'Embudo General'!$D$2</c:f>
              <c:numCache/>
            </c:numRef>
          </c:val>
        </c:ser>
        <c:ser>
          <c:idx val="4"/>
          <c:order val="4"/>
          <c:tx>
            <c:strRef>
              <c:f>'Embudo General'!$E$1</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'Embudo General'!$E$2</c:f>
              <c:numCache/>
            </c:numRef>
          </c:val>
        </c:ser>
        <c:ser>
          <c:idx val="5"/>
          <c:order val="5"/>
          <c:tx>
            <c:strRef>
              <c:f>'Embudo General'!$F$1</c:f>
            </c:strRef>
          </c:tx>
          <c:spPr>
            <a:solidFill>
              <a:schemeClr val="accent6"/>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val>
            <c:numRef>
              <c:f>'Embudo General'!$F$2</c:f>
              <c:numCache/>
            </c:numRef>
          </c:val>
        </c:ser>
        <c:axId val="1734695428"/>
        <c:axId val="1308605577"/>
      </c:barChart>
      <c:catAx>
        <c:axId val="17346954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08605577"/>
      </c:catAx>
      <c:valAx>
        <c:axId val="13086055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4695428"/>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xdr:colOff>
      <xdr:row>4</xdr:row>
      <xdr:rowOff>28575</xdr:rowOff>
    </xdr:from>
    <xdr:ext cx="7743825" cy="478155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2" max="2" width="55.13"/>
    <col customWidth="1" min="3" max="3" width="35.38"/>
    <col customWidth="1" min="4" max="4" width="68.75"/>
    <col customWidth="1" min="5" max="5" width="51.5"/>
  </cols>
  <sheetData>
    <row r="1">
      <c r="B1" s="1"/>
    </row>
    <row r="2">
      <c r="B2" s="1"/>
      <c r="C2" s="2" t="s">
        <v>0</v>
      </c>
      <c r="D2" s="2" t="s">
        <v>1</v>
      </c>
      <c r="E2" s="2" t="s">
        <v>2</v>
      </c>
    </row>
    <row r="3">
      <c r="B3" s="3" t="s">
        <v>3</v>
      </c>
      <c r="C3" s="4" t="s">
        <v>4</v>
      </c>
      <c r="D3" s="5" t="s">
        <v>5</v>
      </c>
      <c r="E3" s="6" t="s">
        <v>6</v>
      </c>
    </row>
    <row r="4">
      <c r="B4" s="3" t="s">
        <v>7</v>
      </c>
      <c r="C4" s="7"/>
      <c r="D4" s="8" t="s">
        <v>8</v>
      </c>
      <c r="E4" s="8" t="s">
        <v>9</v>
      </c>
    </row>
    <row r="5">
      <c r="B5" s="9"/>
    </row>
    <row r="6">
      <c r="B6" s="1"/>
    </row>
    <row r="7">
      <c r="B7" s="9"/>
    </row>
    <row r="8">
      <c r="B8" s="10" t="s">
        <v>10</v>
      </c>
    </row>
    <row r="9">
      <c r="B9" s="9" t="s">
        <v>11</v>
      </c>
    </row>
    <row r="10">
      <c r="B10" s="9" t="s">
        <v>12</v>
      </c>
    </row>
    <row r="11">
      <c r="B11" s="9" t="s">
        <v>13</v>
      </c>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mergeCells count="1">
    <mergeCell ref="C3:C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11" t="s">
        <v>14</v>
      </c>
      <c r="B1" s="11" t="s">
        <v>15</v>
      </c>
      <c r="C1" s="11" t="s">
        <v>16</v>
      </c>
      <c r="D1" s="11" t="s">
        <v>17</v>
      </c>
      <c r="E1" s="11" t="s">
        <v>18</v>
      </c>
      <c r="F1" s="11" t="s">
        <v>19</v>
      </c>
    </row>
    <row r="2">
      <c r="A2" s="12">
        <v>76.8974</v>
      </c>
      <c r="B2" s="12">
        <v>11.0092</v>
      </c>
      <c r="C2" s="12">
        <v>4.00334</v>
      </c>
      <c r="D2" s="12">
        <v>2.41868</v>
      </c>
      <c r="E2" s="12">
        <v>2.08507</v>
      </c>
      <c r="F2" s="12">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11" t="s">
        <v>20</v>
      </c>
      <c r="B1" s="11" t="s">
        <v>14</v>
      </c>
      <c r="C1" s="11" t="s">
        <v>15</v>
      </c>
      <c r="D1" s="11" t="s">
        <v>16</v>
      </c>
      <c r="E1" s="11" t="s">
        <v>17</v>
      </c>
      <c r="F1" s="11" t="s">
        <v>18</v>
      </c>
      <c r="G1" s="11" t="s">
        <v>19</v>
      </c>
      <c r="I1" s="11" t="s">
        <v>14</v>
      </c>
    </row>
    <row r="2">
      <c r="A2" s="13" t="s">
        <v>21</v>
      </c>
      <c r="B2" s="14">
        <v>81.8182</v>
      </c>
      <c r="C2" s="14">
        <v>22.7273</v>
      </c>
      <c r="D2" s="14">
        <v>4.54545</v>
      </c>
      <c r="E2" s="14">
        <v>4.54545</v>
      </c>
      <c r="F2" s="14">
        <v>4.54545</v>
      </c>
      <c r="G2" s="14">
        <v>4.54545</v>
      </c>
      <c r="I2" s="15">
        <f t="shared" ref="I2:I11" si="1">(B2-C2)/B2</f>
        <v>0.7222219506</v>
      </c>
    </row>
    <row r="3">
      <c r="A3" s="13" t="s">
        <v>22</v>
      </c>
      <c r="B3" s="14">
        <v>80.6452</v>
      </c>
      <c r="C3" s="14">
        <v>9.67742</v>
      </c>
      <c r="D3" s="14">
        <v>3.22581</v>
      </c>
      <c r="E3" s="14">
        <v>3.22581</v>
      </c>
      <c r="F3" s="14">
        <v>3.22581</v>
      </c>
      <c r="G3" s="14">
        <v>3.22581</v>
      </c>
      <c r="I3" s="15">
        <f t="shared" si="1"/>
        <v>0.8800000496</v>
      </c>
    </row>
    <row r="4">
      <c r="A4" s="13" t="s">
        <v>23</v>
      </c>
      <c r="B4" s="14">
        <v>79.7521</v>
      </c>
      <c r="C4" s="14">
        <v>13.2231</v>
      </c>
      <c r="D4" s="14">
        <v>4.13223</v>
      </c>
      <c r="E4" s="14">
        <v>3.30579</v>
      </c>
      <c r="F4" s="14">
        <v>2.89256</v>
      </c>
      <c r="G4" s="14">
        <v>2.47934</v>
      </c>
      <c r="I4" s="15">
        <f t="shared" si="1"/>
        <v>0.8341974694</v>
      </c>
    </row>
    <row r="5">
      <c r="A5" s="13" t="s">
        <v>24</v>
      </c>
      <c r="B5" s="14">
        <v>84.5455</v>
      </c>
      <c r="C5" s="14">
        <v>10.0</v>
      </c>
      <c r="D5" s="14">
        <v>2.72727</v>
      </c>
      <c r="E5" s="14">
        <v>2.72727</v>
      </c>
      <c r="F5" s="14">
        <v>1.81818</v>
      </c>
      <c r="G5" s="14">
        <v>1.81818</v>
      </c>
      <c r="I5" s="15">
        <f t="shared" si="1"/>
        <v>0.8817204937</v>
      </c>
    </row>
    <row r="6">
      <c r="A6" s="13" t="s">
        <v>25</v>
      </c>
      <c r="B6" s="14">
        <v>75.0</v>
      </c>
      <c r="C6" s="14">
        <v>8.75</v>
      </c>
      <c r="D6" s="14">
        <v>4.375</v>
      </c>
      <c r="E6" s="14">
        <v>1.875</v>
      </c>
      <c r="F6" s="14">
        <v>1.875</v>
      </c>
      <c r="G6" s="14">
        <v>1.25</v>
      </c>
      <c r="I6" s="15">
        <f t="shared" si="1"/>
        <v>0.8833333333</v>
      </c>
    </row>
    <row r="7">
      <c r="A7" s="13" t="s">
        <v>26</v>
      </c>
      <c r="B7" s="14">
        <v>78.3505</v>
      </c>
      <c r="C7" s="14">
        <v>17.5258</v>
      </c>
      <c r="D7" s="14">
        <v>8.24742</v>
      </c>
      <c r="E7" s="14">
        <v>3.09278</v>
      </c>
      <c r="F7" s="14">
        <v>2.06186</v>
      </c>
      <c r="G7" s="14">
        <v>1.03093</v>
      </c>
      <c r="I7" s="15">
        <f t="shared" si="1"/>
        <v>0.7763154032</v>
      </c>
    </row>
    <row r="8">
      <c r="A8" s="13" t="s">
        <v>27</v>
      </c>
      <c r="B8" s="14">
        <v>72.6027</v>
      </c>
      <c r="C8" s="14">
        <v>8.90411</v>
      </c>
      <c r="D8" s="14">
        <v>2.39726</v>
      </c>
      <c r="E8" s="14">
        <v>1.36986</v>
      </c>
      <c r="F8" s="14">
        <v>1.36986</v>
      </c>
      <c r="G8" s="14">
        <v>0.684932</v>
      </c>
      <c r="I8" s="15">
        <f t="shared" si="1"/>
        <v>0.8773584178</v>
      </c>
    </row>
    <row r="9">
      <c r="A9" s="13" t="s">
        <v>28</v>
      </c>
      <c r="B9" s="14">
        <v>74.5763</v>
      </c>
      <c r="C9" s="14">
        <v>10.1695</v>
      </c>
      <c r="D9" s="14">
        <v>5.08475</v>
      </c>
      <c r="E9" s="14">
        <v>1.69492</v>
      </c>
      <c r="F9" s="14">
        <v>1.69492</v>
      </c>
      <c r="G9" s="14">
        <v>0.0</v>
      </c>
      <c r="I9" s="15">
        <f t="shared" si="1"/>
        <v>0.8636363027</v>
      </c>
    </row>
    <row r="10">
      <c r="A10" s="13" t="s">
        <v>29</v>
      </c>
      <c r="B10" s="14">
        <v>76.3636</v>
      </c>
      <c r="C10" s="14">
        <v>9.69697</v>
      </c>
      <c r="D10" s="14">
        <v>4.84848</v>
      </c>
      <c r="E10" s="14">
        <v>3.0303</v>
      </c>
      <c r="F10" s="14">
        <v>2.42424</v>
      </c>
      <c r="G10" s="14">
        <v>0.0</v>
      </c>
      <c r="I10" s="15">
        <f t="shared" si="1"/>
        <v>0.8730158086</v>
      </c>
    </row>
    <row r="11">
      <c r="A11" s="13" t="s">
        <v>30</v>
      </c>
      <c r="B11" s="14">
        <v>71.4286</v>
      </c>
      <c r="C11" s="14">
        <v>9.52381</v>
      </c>
      <c r="D11" s="14">
        <v>0.0</v>
      </c>
      <c r="E11" s="14">
        <v>0.0</v>
      </c>
      <c r="F11" s="14">
        <v>0.0</v>
      </c>
      <c r="G11" s="14">
        <v>0.0</v>
      </c>
      <c r="I11" s="15">
        <f t="shared" si="1"/>
        <v>0.8666667133</v>
      </c>
    </row>
    <row r="12">
      <c r="H12" s="13" t="s">
        <v>31</v>
      </c>
      <c r="I12" s="16">
        <f>AVERAGE(I2:I11)</f>
        <v>0.8458465942</v>
      </c>
    </row>
    <row r="13">
      <c r="I13" s="15">
        <f>MAX(I2:I11)</f>
        <v>0.8833333333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13" t="s">
        <v>20</v>
      </c>
      <c r="B1" s="13" t="s">
        <v>32</v>
      </c>
      <c r="C1" s="13" t="s">
        <v>33</v>
      </c>
      <c r="D1" s="13" t="s">
        <v>34</v>
      </c>
      <c r="E1" s="13" t="s">
        <v>35</v>
      </c>
    </row>
    <row r="2">
      <c r="A2" s="13" t="s">
        <v>25</v>
      </c>
      <c r="B2" s="13">
        <v>85.1</v>
      </c>
      <c r="C2" s="13">
        <v>52.3</v>
      </c>
      <c r="D2" s="13">
        <v>22.5</v>
      </c>
      <c r="E2" s="13">
        <v>1.8</v>
      </c>
      <c r="H2" s="17"/>
    </row>
    <row r="3">
      <c r="A3" s="13" t="s">
        <v>22</v>
      </c>
      <c r="B3" s="13">
        <v>80.8</v>
      </c>
      <c r="C3" s="13">
        <v>46.8</v>
      </c>
      <c r="D3" s="13">
        <v>19.2</v>
      </c>
      <c r="E3" s="13">
        <v>2.5</v>
      </c>
      <c r="H3" s="17"/>
    </row>
    <row r="4">
      <c r="A4" s="13" t="s">
        <v>27</v>
      </c>
      <c r="B4" s="13">
        <v>87.2</v>
      </c>
      <c r="C4" s="13">
        <v>54.4</v>
      </c>
      <c r="D4" s="13">
        <v>24.4</v>
      </c>
      <c r="E4" s="13">
        <v>2.5</v>
      </c>
      <c r="H4" s="17"/>
    </row>
    <row r="5">
      <c r="A5" s="13" t="s">
        <v>26</v>
      </c>
      <c r="B5" s="13">
        <v>83.7</v>
      </c>
      <c r="C5" s="13">
        <v>51.8</v>
      </c>
      <c r="D5" s="13">
        <v>22.1</v>
      </c>
      <c r="E5" s="13">
        <v>1.7</v>
      </c>
      <c r="H5" s="17"/>
    </row>
    <row r="6">
      <c r="A6" s="13" t="s">
        <v>29</v>
      </c>
      <c r="B6" s="13">
        <v>84.5</v>
      </c>
      <c r="C6" s="13">
        <v>52.0</v>
      </c>
      <c r="D6" s="13">
        <v>21.8</v>
      </c>
      <c r="E6" s="13">
        <v>1.6</v>
      </c>
      <c r="H6" s="17"/>
    </row>
    <row r="7">
      <c r="A7" s="13" t="s">
        <v>28</v>
      </c>
      <c r="B7" s="13">
        <v>79.1</v>
      </c>
      <c r="C7" s="13">
        <v>50.0</v>
      </c>
      <c r="D7" s="13">
        <v>20.6</v>
      </c>
      <c r="E7" s="13">
        <v>2.5</v>
      </c>
      <c r="H7" s="17"/>
    </row>
    <row r="8">
      <c r="A8" s="13" t="s">
        <v>23</v>
      </c>
      <c r="B8" s="13">
        <v>86.1</v>
      </c>
      <c r="C8" s="13">
        <v>55.8</v>
      </c>
      <c r="D8" s="13">
        <v>25.5</v>
      </c>
      <c r="E8" s="13">
        <v>3.1</v>
      </c>
      <c r="H8" s="17"/>
    </row>
    <row r="9">
      <c r="A9" s="13" t="s">
        <v>30</v>
      </c>
      <c r="B9" s="13">
        <v>80.9</v>
      </c>
      <c r="C9" s="13">
        <v>49.1</v>
      </c>
      <c r="D9" s="13">
        <v>22.1</v>
      </c>
      <c r="E9" s="13">
        <v>2.1</v>
      </c>
      <c r="H9" s="17"/>
    </row>
    <row r="10">
      <c r="A10" s="13" t="s">
        <v>24</v>
      </c>
      <c r="B10" s="13">
        <v>84.3</v>
      </c>
      <c r="C10" s="13">
        <v>51.1</v>
      </c>
      <c r="D10" s="13">
        <v>22.9</v>
      </c>
      <c r="E10" s="13">
        <v>3.2</v>
      </c>
      <c r="H10" s="17"/>
    </row>
    <row r="11">
      <c r="A11" s="13" t="s">
        <v>21</v>
      </c>
      <c r="B11" s="13">
        <v>86.1</v>
      </c>
      <c r="C11" s="13">
        <v>48.8</v>
      </c>
      <c r="D11" s="13">
        <v>23.0</v>
      </c>
      <c r="E11" s="13">
        <v>2.5</v>
      </c>
      <c r="H11" s="17"/>
    </row>
    <row r="12">
      <c r="A12" s="13"/>
      <c r="B12" s="13">
        <f t="shared" ref="B12:E12" si="1">AVERAGE(B2:B11)</f>
        <v>83.78</v>
      </c>
      <c r="C12" s="13">
        <f t="shared" si="1"/>
        <v>51.21</v>
      </c>
      <c r="D12" s="13">
        <f t="shared" si="1"/>
        <v>22.41</v>
      </c>
      <c r="E12" s="13">
        <f t="shared" si="1"/>
        <v>2.35</v>
      </c>
      <c r="H12" s="17"/>
    </row>
  </sheetData>
  <autoFilter ref="$A$1:$J$12">
    <sortState ref="A1:J12">
      <sortCondition ref="A1:A12"/>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13" t="s">
        <v>36</v>
      </c>
      <c r="B1" s="13" t="s">
        <v>32</v>
      </c>
      <c r="C1" s="13" t="s">
        <v>33</v>
      </c>
      <c r="D1" s="13" t="s">
        <v>34</v>
      </c>
      <c r="E1" s="13" t="s">
        <v>35</v>
      </c>
    </row>
    <row r="2">
      <c r="A2" s="18">
        <v>45658.0</v>
      </c>
      <c r="B2" s="13">
        <v>86.2</v>
      </c>
      <c r="C2" s="13">
        <v>56.2</v>
      </c>
      <c r="D2" s="13">
        <v>24.1</v>
      </c>
      <c r="E2" s="13">
        <v>3.0</v>
      </c>
    </row>
    <row r="3">
      <c r="A3" s="18">
        <v>45689.0</v>
      </c>
      <c r="B3" s="13">
        <v>86.8</v>
      </c>
      <c r="C3" s="13">
        <v>56.0</v>
      </c>
      <c r="D3" s="13">
        <v>24.6</v>
      </c>
      <c r="E3" s="13">
        <v>2.7</v>
      </c>
    </row>
    <row r="4">
      <c r="A4" s="18">
        <v>45717.0</v>
      </c>
      <c r="B4" s="13">
        <v>87.7</v>
      </c>
      <c r="C4" s="13">
        <v>56.8</v>
      </c>
      <c r="D4" s="13">
        <v>26.6</v>
      </c>
      <c r="E4" s="13">
        <v>3.0</v>
      </c>
    </row>
    <row r="5">
      <c r="A5" s="18">
        <v>45748.0</v>
      </c>
      <c r="B5" s="13">
        <v>87.2</v>
      </c>
      <c r="C5" s="13">
        <v>53.9</v>
      </c>
      <c r="D5" s="13">
        <v>23.0</v>
      </c>
      <c r="E5" s="13">
        <v>2.0</v>
      </c>
    </row>
    <row r="6">
      <c r="A6" s="18">
        <v>45778.0</v>
      </c>
      <c r="B6" s="13">
        <v>86.0</v>
      </c>
      <c r="C6" s="13">
        <v>54.5</v>
      </c>
      <c r="D6" s="13">
        <v>26.2</v>
      </c>
      <c r="E6" s="13">
        <v>3.0</v>
      </c>
    </row>
    <row r="7">
      <c r="A7" s="18">
        <v>45809.0</v>
      </c>
      <c r="B7" s="13">
        <v>85.9</v>
      </c>
      <c r="C7" s="13">
        <v>55.1</v>
      </c>
      <c r="D7" s="13">
        <v>25.2</v>
      </c>
      <c r="E7" s="13">
        <v>2.1</v>
      </c>
    </row>
    <row r="8">
      <c r="A8" s="18">
        <v>45839.0</v>
      </c>
      <c r="B8" s="13">
        <v>86.4</v>
      </c>
      <c r="C8" s="13">
        <v>56.4</v>
      </c>
      <c r="D8" s="13">
        <v>25.9</v>
      </c>
      <c r="E8" s="13">
        <v>2.7</v>
      </c>
    </row>
    <row r="9">
      <c r="A9" s="18">
        <v>45870.0</v>
      </c>
      <c r="B9" s="13">
        <v>70.8</v>
      </c>
      <c r="C9" s="13">
        <v>29.7</v>
      </c>
      <c r="D9" s="13">
        <v>7.5</v>
      </c>
      <c r="E9" s="13">
        <v>0.2</v>
      </c>
    </row>
  </sheetData>
  <drawing r:id="rId1"/>
</worksheet>
</file>